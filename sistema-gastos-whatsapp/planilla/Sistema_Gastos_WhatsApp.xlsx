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_Proyectos" sheetId="1" state="visible" r:id="rId3"/>
    <sheet name="Categorias" sheetId="2" state="visible" r:id="rId4"/>
    <sheet name="Gastos" sheetId="3" state="visible" r:id="rId5"/>
    <sheet name="Dashboard" sheetId="4" state="visible" r:id="rId6"/>
    <sheet name="Mapeo_Grupos_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<sst xmlns="http://schemas.openxmlformats.org/spreadsheetml/2006/main" count="122" uniqueCount="97">
  <si>
    <t xml:space="preserve">CONFIGURACIÓN DE PROYECTOS / SOCIEDADES</t>
  </si>
  <si>
    <t xml:space="preserve">Un proyecto = un grupo de WhatsApp. Agregá una fila por cada sociedad/proyecto nuevo. El ID_Grupo lo completás cuando conectes el grupo en n8n (Paso 4 de la guía).</t>
  </si>
  <si>
    <t xml:space="preserve">ID_Proyecto</t>
  </si>
  <si>
    <t xml:space="preserve">Nombre_Proyecto</t>
  </si>
  <si>
    <t xml:space="preserve">Sociedad</t>
  </si>
  <si>
    <t xml:space="preserve">Grupo_WhatsApp (nombre)</t>
  </si>
  <si>
    <t xml:space="preserve">ID_Grupo_WhatsApp</t>
  </si>
  <si>
    <t xml:space="preserve">Presupuesto_Total</t>
  </si>
  <si>
    <t xml:space="preserve">Moneda</t>
  </si>
  <si>
    <t xml:space="preserve">Fecha_Inicio</t>
  </si>
  <si>
    <t xml:space="preserve">Activo</t>
  </si>
  <si>
    <t xml:space="preserve">Notas</t>
  </si>
  <si>
    <t xml:space="preserve">P001</t>
  </si>
  <si>
    <t xml:space="preserve">Benito Juárez 4546</t>
  </si>
  <si>
    <t xml:space="preserve">CIRE Fix &amp; Flip</t>
  </si>
  <si>
    <t xml:space="preserve">BJ 4546 - Obra</t>
  </si>
  <si>
    <t xml:space="preserve">120363xxxxxx-xxxxxxxxxx@g.us</t>
  </si>
  <si>
    <t xml:space="preserve">USD</t>
  </si>
  <si>
    <t xml:space="preserve">2026-03-01</t>
  </si>
  <si>
    <t xml:space="preserve">Sí</t>
  </si>
  <si>
    <t xml:space="preserve">Fondeo objetivo USD 230.000</t>
  </si>
  <si>
    <t xml:space="preserve">P002</t>
  </si>
  <si>
    <t xml:space="preserve">Amenábar 2790</t>
  </si>
  <si>
    <t xml:space="preserve">Amenábar 2790 - Obra</t>
  </si>
  <si>
    <t xml:space="preserve">120363yyyyyy-yyyyyyyyyy@g.us</t>
  </si>
  <si>
    <t xml:space="preserve">2025-06-01</t>
  </si>
  <si>
    <t xml:space="preserve">Fin de obra, en comercialización</t>
  </si>
  <si>
    <t xml:space="preserve">P003</t>
  </si>
  <si>
    <t xml:space="preserve">Proyecto Nuevo</t>
  </si>
  <si>
    <t xml:space="preserve">(pegar nombre grupo)</t>
  </si>
  <si>
    <t xml:space="preserve">(pegar ID de grupo)</t>
  </si>
  <si>
    <t xml:space="preserve">No</t>
  </si>
  <si>
    <t xml:space="preserve">Completar al iniciar</t>
  </si>
  <si>
    <t xml:space="preserve">CATEGORÍAS DE GASTO VÁLIDAS</t>
  </si>
  <si>
    <t xml:space="preserve">El parser de n8n valida contra esta lista. Agregar/editar categorías acá se refleja automáticamente en el bot y en el desplegable de la hoja Gastos.</t>
  </si>
  <si>
    <t xml:space="preserve">Categoría</t>
  </si>
  <si>
    <t xml:space="preserve">Palabras clave asociadas (para el parser)</t>
  </si>
  <si>
    <t xml:space="preserve">Materiales</t>
  </si>
  <si>
    <t xml:space="preserve">cemento, arena, ladrillo, hierro, caño, cable, pintura, madera</t>
  </si>
  <si>
    <t xml:space="preserve">Mano de Obra</t>
  </si>
  <si>
    <t xml:space="preserve">jornal, oficial, ayudante, cuadrilla, contratista</t>
  </si>
  <si>
    <t xml:space="preserve">Honorarios Profesionales</t>
  </si>
  <si>
    <t xml:space="preserve">arquitecto, ingeniero, gestoría, escribano, abogado</t>
  </si>
  <si>
    <t xml:space="preserve">Servicios</t>
  </si>
  <si>
    <t xml:space="preserve">luz, gas, agua, internet, seguro, alquiler equipo</t>
  </si>
  <si>
    <t xml:space="preserve">Impuestos y Tasas</t>
  </si>
  <si>
    <t xml:space="preserve">abl, ingresos brutos, tasa, municipalidad, monotributo</t>
  </si>
  <si>
    <t xml:space="preserve">Equipamiento</t>
  </si>
  <si>
    <t xml:space="preserve">herramienta, andamio, alquiler máquina, compra equipo</t>
  </si>
  <si>
    <t xml:space="preserve">Varios</t>
  </si>
  <si>
    <t xml:space="preserve">flete, comida obra, imprevisto, otros</t>
  </si>
  <si>
    <t xml:space="preserve">REGISTRO MAESTRO DE GASTOS</t>
  </si>
  <si>
    <t xml:space="preserve">Esta hoja la completa el workflow de n8n automáticamente. No editar el orden de columnas: el bot escribe por posición de columna.</t>
  </si>
  <si>
    <t xml:space="preserve">ID_Gasto</t>
  </si>
  <si>
    <t xml:space="preserve">Fecha</t>
  </si>
  <si>
    <t xml:space="preserve">Hora</t>
  </si>
  <si>
    <t xml:space="preserve">Proyecto</t>
  </si>
  <si>
    <t xml:space="preserve">Monto</t>
  </si>
  <si>
    <t xml:space="preserve">Descripción</t>
  </si>
  <si>
    <t xml:space="preserve">Remitente</t>
  </si>
  <si>
    <t xml:space="preserve">Grupo_Origen</t>
  </si>
  <si>
    <t xml:space="preserve">Mensaje_Original</t>
  </si>
  <si>
    <t xml:space="preserve">Comprobante (foto/link)</t>
  </si>
  <si>
    <t xml:space="preserve">Estado</t>
  </si>
  <si>
    <t xml:space="preserve">Revisar</t>
  </si>
  <si>
    <t xml:space="preserve">G0001</t>
  </si>
  <si>
    <t xml:space="preserve">2026-07-01</t>
  </si>
  <si>
    <t xml:space="preserve">10:15</t>
  </si>
  <si>
    <t xml:space="preserve">Cemento y arena</t>
  </si>
  <si>
    <t xml:space="preserve">Juan</t>
  </si>
  <si>
    <t xml:space="preserve">GASTO / Materiales / 45000 / Cemento y arena</t>
  </si>
  <si>
    <t xml:space="preserve">OK</t>
  </si>
  <si>
    <t xml:space="preserve">G0002</t>
  </si>
  <si>
    <t xml:space="preserve">2026-07-02</t>
  </si>
  <si>
    <t xml:space="preserve">16:40</t>
  </si>
  <si>
    <t xml:space="preserve">Jornal cuadrilla semana</t>
  </si>
  <si>
    <t xml:space="preserve">Mati</t>
  </si>
  <si>
    <t xml:space="preserve">GASTO / Mano de Obra / 120000 / Jornal cuadrilla semana</t>
  </si>
  <si>
    <t xml:space="preserve">G0003</t>
  </si>
  <si>
    <t xml:space="preserve">2026-07-03</t>
  </si>
  <si>
    <t xml:space="preserve">09:05</t>
  </si>
  <si>
    <t xml:space="preserve">no entendí el monto, confirmar</t>
  </si>
  <si>
    <t xml:space="preserve">Nico</t>
  </si>
  <si>
    <t xml:space="preserve">gasté como 8 lucas en flete</t>
  </si>
  <si>
    <t xml:space="preserve">Monto inferido por el parser, confirmar</t>
  </si>
  <si>
    <t xml:space="preserve">DASHBOARD DE CONTROL POR PROYECTO</t>
  </si>
  <si>
    <t xml:space="preserve">Se actualiza solo a partir de Gastos y Config_Proyectos. No requiere carga manual.</t>
  </si>
  <si>
    <t xml:space="preserve">Presupuesto</t>
  </si>
  <si>
    <t xml:space="preserve">Gastado</t>
  </si>
  <si>
    <t xml:space="preserve">Restante</t>
  </si>
  <si>
    <t xml:space="preserve">% Consumido</t>
  </si>
  <si>
    <t xml:space="preserve">Cant. Gastos</t>
  </si>
  <si>
    <t xml:space="preserve">Último Gasto</t>
  </si>
  <si>
    <t xml:space="preserve">TOTAL</t>
  </si>
  <si>
    <t xml:space="preserve">LOG DE MENSAJES NO RECONOCIDOS</t>
  </si>
  <si>
    <t xml:space="preserve">Cuando un grupo de WhatsApp no tiene ID_Proyecto asignado en Config_Proyectos, o el mensaje no matchea el formato esperado, n8n escribe acá en vez de perder el dato.</t>
  </si>
  <si>
    <t xml:space="preserve">Motivo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</si>
</sst>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Presupuesto vs. Gastado por Proyecto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Dashboard!C4</c:f>
              <c:strCache>
                <c:ptCount val="1"/>
                <c:pt idx="0">
                  <c:v>Presupuesto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Dashboard!$B$5:$B$14</c:f>
              <c:strCache>
                <c:ptCount val="10"/>
                <c:pt idx="0">
                  <c:v>Benito Juárez 4546</c:v>
                </c:pt>
                <c:pt idx="1">
                  <c:v>Amenábar 2790</c:v>
                </c:pt>
                <c:pt idx="2">
                  <c:v>Proyecto Nuevo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Dashboard!$C$5:$C$14</c:f>
              <c:numCache>
                <c:formatCode>\$#,##0;"($"#,##0\);\-</c:formatCode>
                <c:ptCount val="10"/>
                <c:pt idx="0">
                  <c:v>230000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Dashboard!D4</c:f>
              <c:strCache>
                <c:ptCount val="1"/>
                <c:pt idx="0">
                  <c:v>Gastado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Dashboard!$B$5:$B$14</c:f>
              <c:strCache>
                <c:ptCount val="10"/>
                <c:pt idx="0">
                  <c:v>Benito Juárez 4546</c:v>
                </c:pt>
                <c:pt idx="1">
                  <c:v>Amenábar 2790</c:v>
                </c:pt>
                <c:pt idx="2">
                  <c:v>Proyecto Nuevo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Dashboard!$D$5:$D$14</c:f>
              <c:numCache>
                <c:formatCode>\$#,##0;"($"#,##0\);\-</c:formatCode>
                <c:ptCount val="10"/>
                <c:pt idx="0">
                  <c:v>173000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81768609"/>
        <c:axId val="77042298"/>
      </c:barChart>
      <c:catAx>
        <c:axId val="817686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Proyecto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042298"/>
        <c:crosses val="autoZero"/>
        <c:auto val="1"/>
        <c:lblAlgn val="ctr"/>
        <c:lblOffset val="100"/>
        <c:noMultiLvlLbl val="0"/>
      </c:catAx>
      <c:valAx>
        <c:axId val="770422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Monto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7686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37</xdr:row>
      <xdr:rowOff>160560</xdr:rowOff>
    </xdr:from>
    <xdr:to>
      <xdr:col>9</xdr:col>
      <xdr:colOff>63360</xdr:colOff>
      <xdr:row>56</xdr:row>
      <xdr:rowOff>140760</xdr:rowOff>
    </xdr:to>
    <xdr:graphicFrame>
      <xdr:nvGraphicFramePr>
        <xdr:cNvPr id="0" name="Chart 1"/>
        <xdr:cNvGraphicFramePr/>
      </xdr:nvGraphicFramePr>
      <xdr:xfrm>
        <a:off x="0" y="723888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5" t="n">
        <v>230000</v>
      </c>
      <c r="G5" s="4" t="s">
        <v>17</v>
      </c>
      <c r="H5" s="4" t="s">
        <v>18</v>
      </c>
      <c r="I5" s="4" t="s">
        <v>19</v>
      </c>
      <c r="J5" s="4" t="s">
        <v>20</v>
      </c>
    </row>
    <row r="6" customFormat="false" ht="15" hidden="false" customHeight="false" outlineLevel="0" collapsed="false">
      <c r="A6" s="4" t="s">
        <v>21</v>
      </c>
      <c r="B6" s="4" t="s">
        <v>22</v>
      </c>
      <c r="C6" s="4" t="s">
        <v>14</v>
      </c>
      <c r="D6" s="4" t="s">
        <v>23</v>
      </c>
      <c r="E6" s="4" t="s">
        <v>24</v>
      </c>
      <c r="F6" s="5" t="n">
        <v>0</v>
      </c>
      <c r="G6" s="4" t="s">
        <v>17</v>
      </c>
      <c r="H6" s="4" t="s">
        <v>25</v>
      </c>
      <c r="I6" s="4" t="s">
        <v>19</v>
      </c>
      <c r="J6" s="4" t="s">
        <v>26</v>
      </c>
    </row>
    <row r="7" customFormat="false" ht="15" hidden="false" customHeight="false" outlineLevel="0" collapsed="false">
      <c r="A7" s="4" t="s">
        <v>27</v>
      </c>
      <c r="B7" s="4" t="s">
        <v>28</v>
      </c>
      <c r="C7" s="4" t="s">
        <v>14</v>
      </c>
      <c r="D7" s="4" t="s">
        <v>29</v>
      </c>
      <c r="E7" s="4" t="s">
        <v>30</v>
      </c>
      <c r="F7" s="5" t="n">
        <v>0</v>
      </c>
      <c r="G7" s="4" t="s">
        <v>17</v>
      </c>
      <c r="H7" s="4"/>
      <c r="I7" s="4" t="s">
        <v>31</v>
      </c>
      <c r="J7" s="4" t="s">
        <v>32</v>
      </c>
    </row>
  </sheetData>
  <mergeCells count="1">
    <mergeCell ref="A2:J2"/>
  </mergeCells>
  <dataValidations count="1">
    <dataValidation allowBlank="true" errorStyle="stop" operator="between" showDropDown="false" showErrorMessage="false" showInputMessage="false" sqref="I5:I200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5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  <c r="B2" s="2"/>
      <c r="C2" s="2"/>
    </row>
    <row r="4" customFormat="false" ht="15" hidden="false" customHeight="false" outlineLevel="0" collapsed="false">
      <c r="A4" s="3" t="s">
        <v>35</v>
      </c>
      <c r="B4" s="3" t="s">
        <v>36</v>
      </c>
    </row>
    <row r="5" customFormat="false" ht="15" hidden="false" customHeight="false" outlineLevel="0" collapsed="false">
      <c r="A5" s="6" t="s">
        <v>37</v>
      </c>
      <c r="B5" s="6" t="s">
        <v>38</v>
      </c>
    </row>
    <row r="6" customFormat="false" ht="15" hidden="false" customHeight="false" outlineLevel="0" collapsed="false">
      <c r="A6" s="6" t="s">
        <v>39</v>
      </c>
      <c r="B6" s="6" t="s">
        <v>40</v>
      </c>
    </row>
    <row r="7" customFormat="false" ht="15" hidden="false" customHeight="false" outlineLevel="0" collapsed="false">
      <c r="A7" s="6" t="s">
        <v>41</v>
      </c>
      <c r="B7" s="6" t="s">
        <v>42</v>
      </c>
    </row>
    <row r="8" customFormat="false" ht="15" hidden="false" customHeight="false" outlineLevel="0" collapsed="false">
      <c r="A8" s="6" t="s">
        <v>43</v>
      </c>
      <c r="B8" s="6" t="s">
        <v>44</v>
      </c>
    </row>
    <row r="9" customFormat="false" ht="15" hidden="false" customHeight="false" outlineLevel="0" collapsed="false">
      <c r="A9" s="6" t="s">
        <v>45</v>
      </c>
      <c r="B9" s="6" t="s">
        <v>46</v>
      </c>
    </row>
    <row r="10" customFormat="false" ht="15" hidden="false" customHeight="false" outlineLevel="0" collapsed="false">
      <c r="A10" s="6" t="s">
        <v>47</v>
      </c>
      <c r="B10" s="6" t="s">
        <v>48</v>
      </c>
    </row>
    <row r="11" customFormat="false" ht="15" hidden="false" customHeight="false" outlineLevel="0" collapsed="false">
      <c r="A11" s="6" t="s">
        <v>49</v>
      </c>
      <c r="B11" s="6" t="s">
        <v>50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34"/>
    <col collapsed="false" customWidth="true" hidden="false" outlineLevel="0" max="12" min="12" style="0" width="20"/>
    <col collapsed="false" customWidth="true" hidden="false" outlineLevel="0" max="13" min="13" style="0" width="10"/>
    <col collapsed="false" customWidth="true" hidden="false" outlineLevel="0" max="14" min="14" style="0" width="30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3.85" hidden="false" customHeight="false" outlineLevel="0" collapsed="false">
      <c r="A4" s="3" t="s">
        <v>53</v>
      </c>
      <c r="B4" s="3" t="s">
        <v>54</v>
      </c>
      <c r="C4" s="3" t="s">
        <v>55</v>
      </c>
      <c r="D4" s="3" t="s">
        <v>2</v>
      </c>
      <c r="E4" s="3" t="s">
        <v>56</v>
      </c>
      <c r="F4" s="3" t="s">
        <v>35</v>
      </c>
      <c r="G4" s="3" t="s">
        <v>57</v>
      </c>
      <c r="H4" s="3" t="s">
        <v>58</v>
      </c>
      <c r="I4" s="3" t="s">
        <v>59</v>
      </c>
      <c r="J4" s="3" t="s">
        <v>60</v>
      </c>
      <c r="K4" s="3" t="s">
        <v>61</v>
      </c>
      <c r="L4" s="3" t="s">
        <v>62</v>
      </c>
      <c r="M4" s="3" t="s">
        <v>63</v>
      </c>
      <c r="N4" s="3" t="s">
        <v>64</v>
      </c>
    </row>
    <row r="5" customFormat="false" ht="23.85" hidden="false" customHeight="false" outlineLevel="0" collapsed="false">
      <c r="A5" s="4" t="s">
        <v>65</v>
      </c>
      <c r="B5" s="4" t="s">
        <v>66</v>
      </c>
      <c r="C5" s="4" t="s">
        <v>67</v>
      </c>
      <c r="D5" s="4" t="s">
        <v>12</v>
      </c>
      <c r="E5" s="7" t="str">
        <f aca="false">IFERROR(VLOOKUP(D5,Config_Proyectos!$A$5:$B$200,2,0),"")</f>
        <v>Benito Juárez 4546</v>
      </c>
      <c r="F5" s="4" t="s">
        <v>37</v>
      </c>
      <c r="G5" s="5" t="n">
        <v>45000</v>
      </c>
      <c r="H5" s="6" t="s">
        <v>68</v>
      </c>
      <c r="I5" s="4" t="s">
        <v>69</v>
      </c>
      <c r="J5" s="4" t="s">
        <v>15</v>
      </c>
      <c r="K5" s="6" t="s">
        <v>70</v>
      </c>
      <c r="L5" s="4"/>
      <c r="M5" s="4" t="s">
        <v>71</v>
      </c>
      <c r="N5" s="6"/>
    </row>
    <row r="6" customFormat="false" ht="23.85" hidden="false" customHeight="false" outlineLevel="0" collapsed="false">
      <c r="A6" s="4" t="s">
        <v>72</v>
      </c>
      <c r="B6" s="4" t="s">
        <v>73</v>
      </c>
      <c r="C6" s="4" t="s">
        <v>74</v>
      </c>
      <c r="D6" s="4" t="s">
        <v>12</v>
      </c>
      <c r="E6" s="7" t="str">
        <f aca="false">IFERROR(VLOOKUP(D6,Config_Proyectos!$A$5:$B$200,2,0),"")</f>
        <v>Benito Juárez 4546</v>
      </c>
      <c r="F6" s="4" t="s">
        <v>39</v>
      </c>
      <c r="G6" s="5" t="n">
        <v>120000</v>
      </c>
      <c r="H6" s="6" t="s">
        <v>75</v>
      </c>
      <c r="I6" s="4" t="s">
        <v>76</v>
      </c>
      <c r="J6" s="4" t="s">
        <v>15</v>
      </c>
      <c r="K6" s="6" t="s">
        <v>77</v>
      </c>
      <c r="L6" s="4"/>
      <c r="M6" s="4" t="s">
        <v>71</v>
      </c>
      <c r="N6" s="6"/>
    </row>
    <row r="7" customFormat="false" ht="23.85" hidden="false" customHeight="false" outlineLevel="0" collapsed="false">
      <c r="A7" s="4" t="s">
        <v>78</v>
      </c>
      <c r="B7" s="4" t="s">
        <v>79</v>
      </c>
      <c r="C7" s="4" t="s">
        <v>80</v>
      </c>
      <c r="D7" s="4" t="s">
        <v>12</v>
      </c>
      <c r="E7" s="7" t="str">
        <f aca="false">IFERROR(VLOOKUP(D7,Config_Proyectos!$A$5:$B$200,2,0),"")</f>
        <v>Benito Juárez 4546</v>
      </c>
      <c r="F7" s="4" t="s">
        <v>49</v>
      </c>
      <c r="G7" s="5" t="n">
        <v>8000</v>
      </c>
      <c r="H7" s="6" t="s">
        <v>81</v>
      </c>
      <c r="I7" s="4" t="s">
        <v>82</v>
      </c>
      <c r="J7" s="4" t="s">
        <v>15</v>
      </c>
      <c r="K7" s="6" t="s">
        <v>83</v>
      </c>
      <c r="L7" s="4"/>
      <c r="M7" s="8" t="s">
        <v>64</v>
      </c>
      <c r="N7" s="6" t="s">
        <v>84</v>
      </c>
    </row>
  </sheetData>
  <mergeCells count="1">
    <mergeCell ref="A2:N2"/>
  </mergeCells>
  <conditionalFormatting sqref="M5:M500">
    <cfRule type="cellIs" priority="2" operator="equal" aboveAverage="0" equalAverage="0" bottom="0" percent="0" rank="0" text="" dxfId="0">
      <formula>"Revisar"</formula>
    </cfRule>
  </conditionalFormatting>
  <dataValidations count="3">
    <dataValidation allowBlank="true" errorStyle="stop" operator="between" showDropDown="false" showErrorMessage="false" showInputMessage="false" sqref="F5:F1000" type="list">
      <formula1>Categorias!$A$5:$A$11</formula1>
      <formula2>0</formula2>
    </dataValidation>
    <dataValidation allowBlank="true" errorStyle="stop" operator="between" showDropDown="false" showErrorMessage="false" showInputMessage="false" sqref="D5:D1000" type="list">
      <formula1>Config_Proyectos!$A$5:$A$200</formula1>
      <formula2>0</formula2>
    </dataValidation>
    <dataValidation allowBlank="true" errorStyle="stop" operator="between" showDropDown="false" showErrorMessage="false" showInputMessage="false" sqref="M5:M1000" type="list">
      <formula1>"OK,Revisar,Duplicado,Anulado"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3"/>
  </cols>
  <sheetData>
    <row r="1" customFormat="false" ht="17.35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56</v>
      </c>
      <c r="C4" s="3" t="s">
        <v>87</v>
      </c>
      <c r="D4" s="3" t="s">
        <v>88</v>
      </c>
      <c r="E4" s="3" t="s">
        <v>89</v>
      </c>
      <c r="F4" s="3" t="s">
        <v>90</v>
      </c>
      <c r="G4" s="3" t="s">
        <v>91</v>
      </c>
      <c r="H4" s="3" t="s">
        <v>92</v>
      </c>
    </row>
    <row r="5" customFormat="false" ht="15" hidden="false" customHeight="false" outlineLevel="0" collapsed="false">
      <c r="A5" s="7" t="str">
        <f aca="false">IFERROR(Config_Proyectos!A5,"")</f>
        <v>P001</v>
      </c>
      <c r="B5" s="7" t="str">
        <f aca="false">IF(A5="","",Config_Proyectos!B5)</f>
        <v>Benito Juárez 4546</v>
      </c>
      <c r="C5" s="9" t="n">
        <f aca="false">IF(A5="","",Config_Proyectos!F5)</f>
        <v>230000</v>
      </c>
      <c r="D5" s="9" t="n">
        <f aca="false">IF(A5="","",SUMIF(Gastos!$D$5:$D$1000,A5,Gastos!$G$5:$G$1000))</f>
        <v>173000</v>
      </c>
      <c r="E5" s="9" t="n">
        <f aca="false">IF(A5="","",C5-D5)</f>
        <v>57000</v>
      </c>
      <c r="F5" s="10" t="n">
        <f aca="false">IF(OR(A5="",C5=0),"",D5/C5)</f>
        <v>0.752173913043478</v>
      </c>
      <c r="G5" s="7" t="n">
        <f aca="false">IF(A5="","",COUNTIF(Gastos!$D$5:$D$1000,A5))</f>
        <v>3</v>
      </c>
      <c r="H5" s="7" t="n">
        <f aca="false">IF(A5="","",IFERROR(MAX(IF(Gastos!$D$5:$D$1000=A5,Gastos!$B$5:$B$1000)),""))</f>
        <v>0</v>
      </c>
    </row>
    <row r="6" customFormat="false" ht="15" hidden="false" customHeight="false" outlineLevel="0" collapsed="false">
      <c r="A6" s="7" t="str">
        <f aca="false">IFERROR(Config_Proyectos!A6,"")</f>
        <v>P002</v>
      </c>
      <c r="B6" s="7" t="str">
        <f aca="false">IF(A6="","",Config_Proyectos!B6)</f>
        <v>Amenábar 2790</v>
      </c>
      <c r="C6" s="9" t="n">
        <f aca="false">IF(A6="","",Config_Proyectos!F6)</f>
        <v>0</v>
      </c>
      <c r="D6" s="9" t="n">
        <f aca="false">IF(A6="","",SUMIF(Gastos!$D$5:$D$1000,A6,Gastos!$G$5:$G$1000))</f>
        <v>0</v>
      </c>
      <c r="E6" s="9" t="n">
        <f aca="false">IF(A6="","",C6-D6)</f>
        <v>0</v>
      </c>
      <c r="F6" s="10" t="str">
        <f aca="false">IF(OR(A6="",C6=0),"",D6/C6)</f>
        <v/>
      </c>
      <c r="G6" s="7" t="n">
        <f aca="false">IF(A6="","",COUNTIF(Gastos!$D$5:$D$1000,A6))</f>
        <v>0</v>
      </c>
      <c r="H6" s="7" t="n">
        <f aca="false">IF(A6="","",IFERROR(MAX(IF(Gastos!$D$5:$D$1000=A6,Gastos!$B$5:$B$1000)),""))</f>
        <v>0</v>
      </c>
    </row>
    <row r="7" customFormat="false" ht="15" hidden="false" customHeight="false" outlineLevel="0" collapsed="false">
      <c r="A7" s="7" t="str">
        <f aca="false">IFERROR(Config_Proyectos!A7,"")</f>
        <v>P003</v>
      </c>
      <c r="B7" s="7" t="str">
        <f aca="false">IF(A7="","",Config_Proyectos!B7)</f>
        <v>Proyecto Nuevo</v>
      </c>
      <c r="C7" s="9" t="n">
        <f aca="false">IF(A7="","",Config_Proyectos!F7)</f>
        <v>0</v>
      </c>
      <c r="D7" s="9" t="n">
        <f aca="false">IF(A7="","",SUMIF(Gastos!$D$5:$D$1000,A7,Gastos!$G$5:$G$1000))</f>
        <v>0</v>
      </c>
      <c r="E7" s="9" t="n">
        <f aca="false">IF(A7="","",C7-D7)</f>
        <v>0</v>
      </c>
      <c r="F7" s="10" t="str">
        <f aca="false">IF(OR(A7="",C7=0),"",D7/C7)</f>
        <v/>
      </c>
      <c r="G7" s="7" t="n">
        <f aca="false">IF(A7="","",COUNTIF(Gastos!$D$5:$D$1000,A7))</f>
        <v>0</v>
      </c>
      <c r="H7" s="7" t="n">
        <f aca="false">IF(A7="","",IFERROR(MAX(IF(Gastos!$D$5:$D$1000=A7,Gastos!$B$5:$B$1000)),""))</f>
        <v>0</v>
      </c>
    </row>
    <row r="8" customFormat="false" ht="15" hidden="false" customHeight="false" outlineLevel="0" collapsed="false">
      <c r="A8" s="7" t="n">
        <f aca="false">IFERROR(Config_Proyectos!A8,"")</f>
        <v>0</v>
      </c>
      <c r="B8" s="7" t="str">
        <f aca="false">IF(A8="","",Config_Proyectos!B8)</f>
        <v/>
      </c>
      <c r="C8" s="9" t="str">
        <f aca="false">IF(A8="","",Config_Proyectos!F8)</f>
        <v/>
      </c>
      <c r="D8" s="9" t="str">
        <f aca="false">IF(A8="","",SUMIF(Gastos!$D$5:$D$1000,A8,Gastos!$G$5:$G$1000))</f>
        <v/>
      </c>
      <c r="E8" s="9" t="str">
        <f aca="false">IF(A8="","",C8-D8)</f>
        <v/>
      </c>
      <c r="F8" s="10" t="str">
        <f aca="false">IF(OR(A8="",C8=0),"",D8/C8)</f>
        <v/>
      </c>
      <c r="G8" s="7" t="str">
        <f aca="false">IF(A8="","",COUNTIF(Gastos!$D$5:$D$1000,A8))</f>
        <v/>
      </c>
      <c r="H8" s="7" t="str">
        <f aca="false">IF(A8="","",IFERROR(MAX(IF(Gastos!$D$5:$D$1000=A8,Gastos!$B$5:$B$1000)),""))</f>
        <v/>
      </c>
    </row>
    <row r="9" customFormat="false" ht="15" hidden="false" customHeight="false" outlineLevel="0" collapsed="false">
      <c r="A9" s="7" t="n">
        <f aca="false">IFERROR(Config_Proyectos!A9,"")</f>
        <v>0</v>
      </c>
      <c r="B9" s="7" t="str">
        <f aca="false">IF(A9="","",Config_Proyectos!B9)</f>
        <v/>
      </c>
      <c r="C9" s="9" t="str">
        <f aca="false">IF(A9="","",Config_Proyectos!F9)</f>
        <v/>
      </c>
      <c r="D9" s="9" t="str">
        <f aca="false">IF(A9="","",SUMIF(Gastos!$D$5:$D$1000,A9,Gastos!$G$5:$G$1000))</f>
        <v/>
      </c>
      <c r="E9" s="9" t="str">
        <f aca="false">IF(A9="","",C9-D9)</f>
        <v/>
      </c>
      <c r="F9" s="10" t="str">
        <f aca="false">IF(OR(A9="",C9=0),"",D9/C9)</f>
        <v/>
      </c>
      <c r="G9" s="7" t="str">
        <f aca="false">IF(A9="","",COUNTIF(Gastos!$D$5:$D$1000,A9))</f>
        <v/>
      </c>
      <c r="H9" s="7" t="str">
        <f aca="false">IF(A9="","",IFERROR(MAX(IF(Gastos!$D$5:$D$1000=A9,Gastos!$B$5:$B$1000)),""))</f>
        <v/>
      </c>
    </row>
    <row r="10" customFormat="false" ht="15" hidden="false" customHeight="false" outlineLevel="0" collapsed="false">
      <c r="A10" s="7" t="n">
        <f aca="false">IFERROR(Config_Proyectos!A10,"")</f>
        <v>0</v>
      </c>
      <c r="B10" s="7" t="str">
        <f aca="false">IF(A10="","",Config_Proyectos!B10)</f>
        <v/>
      </c>
      <c r="C10" s="9" t="str">
        <f aca="false">IF(A10="","",Config_Proyectos!F10)</f>
        <v/>
      </c>
      <c r="D10" s="9" t="str">
        <f aca="false">IF(A10="","",SUMIF(Gastos!$D$5:$D$1000,A10,Gastos!$G$5:$G$1000))</f>
        <v/>
      </c>
      <c r="E10" s="9" t="str">
        <f aca="false">IF(A10="","",C10-D10)</f>
        <v/>
      </c>
      <c r="F10" s="10" t="str">
        <f aca="false">IF(OR(A10="",C10=0),"",D10/C10)</f>
        <v/>
      </c>
      <c r="G10" s="7" t="str">
        <f aca="false">IF(A10="","",COUNTIF(Gastos!$D$5:$D$1000,A10))</f>
        <v/>
      </c>
      <c r="H10" s="7" t="str">
        <f aca="false">IF(A10="","",IFERROR(MAX(IF(Gastos!$D$5:$D$1000=A10,Gastos!$B$5:$B$1000)),""))</f>
        <v/>
      </c>
    </row>
    <row r="11" customFormat="false" ht="15" hidden="false" customHeight="false" outlineLevel="0" collapsed="false">
      <c r="A11" s="7" t="n">
        <f aca="false">IFERROR(Config_Proyectos!A11,"")</f>
        <v>0</v>
      </c>
      <c r="B11" s="7" t="str">
        <f aca="false">IF(A11="","",Config_Proyectos!B11)</f>
        <v/>
      </c>
      <c r="C11" s="9" t="str">
        <f aca="false">IF(A11="","",Config_Proyectos!F11)</f>
        <v/>
      </c>
      <c r="D11" s="9" t="str">
        <f aca="false">IF(A11="","",SUMIF(Gastos!$D$5:$D$1000,A11,Gastos!$G$5:$G$1000))</f>
        <v/>
      </c>
      <c r="E11" s="9" t="str">
        <f aca="false">IF(A11="","",C11-D11)</f>
        <v/>
      </c>
      <c r="F11" s="10" t="str">
        <f aca="false">IF(OR(A11="",C11=0),"",D11/C11)</f>
        <v/>
      </c>
      <c r="G11" s="7" t="str">
        <f aca="false">IF(A11="","",COUNTIF(Gastos!$D$5:$D$1000,A11))</f>
        <v/>
      </c>
      <c r="H11" s="7" t="str">
        <f aca="false">IF(A11="","",IFERROR(MAX(IF(Gastos!$D$5:$D$1000=A11,Gastos!$B$5:$B$1000)),""))</f>
        <v/>
      </c>
    </row>
    <row r="12" customFormat="false" ht="15" hidden="false" customHeight="false" outlineLevel="0" collapsed="false">
      <c r="A12" s="7" t="n">
        <f aca="false">IFERROR(Config_Proyectos!A12,"")</f>
        <v>0</v>
      </c>
      <c r="B12" s="7" t="str">
        <f aca="false">IF(A12="","",Config_Proyectos!B12)</f>
        <v/>
      </c>
      <c r="C12" s="9" t="str">
        <f aca="false">IF(A12="","",Config_Proyectos!F12)</f>
        <v/>
      </c>
      <c r="D12" s="9" t="str">
        <f aca="false">IF(A12="","",SUMIF(Gastos!$D$5:$D$1000,A12,Gastos!$G$5:$G$1000))</f>
        <v/>
      </c>
      <c r="E12" s="9" t="str">
        <f aca="false">IF(A12="","",C12-D12)</f>
        <v/>
      </c>
      <c r="F12" s="10" t="str">
        <f aca="false">IF(OR(A12="",C12=0),"",D12/C12)</f>
        <v/>
      </c>
      <c r="G12" s="7" t="str">
        <f aca="false">IF(A12="","",COUNTIF(Gastos!$D$5:$D$1000,A12))</f>
        <v/>
      </c>
      <c r="H12" s="7" t="str">
        <f aca="false">IF(A12="","",IFERROR(MAX(IF(Gastos!$D$5:$D$1000=A12,Gastos!$B$5:$B$1000)),""))</f>
        <v/>
      </c>
    </row>
    <row r="13" customFormat="false" ht="15" hidden="false" customHeight="false" outlineLevel="0" collapsed="false">
      <c r="A13" s="7" t="n">
        <f aca="false">IFERROR(Config_Proyectos!A13,"")</f>
        <v>0</v>
      </c>
      <c r="B13" s="7" t="str">
        <f aca="false">IF(A13="","",Config_Proyectos!B13)</f>
        <v/>
      </c>
      <c r="C13" s="9" t="str">
        <f aca="false">IF(A13="","",Config_Proyectos!F13)</f>
        <v/>
      </c>
      <c r="D13" s="9" t="str">
        <f aca="false">IF(A13="","",SUMIF(Gastos!$D$5:$D$1000,A13,Gastos!$G$5:$G$1000))</f>
        <v/>
      </c>
      <c r="E13" s="9" t="str">
        <f aca="false">IF(A13="","",C13-D13)</f>
        <v/>
      </c>
      <c r="F13" s="10" t="str">
        <f aca="false">IF(OR(A13="",C13=0),"",D13/C13)</f>
        <v/>
      </c>
      <c r="G13" s="7" t="str">
        <f aca="false">IF(A13="","",COUNTIF(Gastos!$D$5:$D$1000,A13))</f>
        <v/>
      </c>
      <c r="H13" s="7" t="str">
        <f aca="false">IF(A13="","",IFERROR(MAX(IF(Gastos!$D$5:$D$1000=A13,Gastos!$B$5:$B$1000)),""))</f>
        <v/>
      </c>
    </row>
    <row r="14" customFormat="false" ht="15" hidden="false" customHeight="false" outlineLevel="0" collapsed="false">
      <c r="A14" s="7" t="n">
        <f aca="false">IFERROR(Config_Proyectos!A14,"")</f>
        <v>0</v>
      </c>
      <c r="B14" s="7" t="str">
        <f aca="false">IF(A14="","",Config_Proyectos!B14)</f>
        <v/>
      </c>
      <c r="C14" s="9" t="str">
        <f aca="false">IF(A14="","",Config_Proyectos!F14)</f>
        <v/>
      </c>
      <c r="D14" s="9" t="str">
        <f aca="false">IF(A14="","",SUMIF(Gastos!$D$5:$D$1000,A14,Gastos!$G$5:$G$1000))</f>
        <v/>
      </c>
      <c r="E14" s="9" t="str">
        <f aca="false">IF(A14="","",C14-D14)</f>
        <v/>
      </c>
      <c r="F14" s="10" t="str">
        <f aca="false">IF(OR(A14="",C14=0),"",D14/C14)</f>
        <v/>
      </c>
      <c r="G14" s="7" t="str">
        <f aca="false">IF(A14="","",COUNTIF(Gastos!$D$5:$D$1000,A14))</f>
        <v/>
      </c>
      <c r="H14" s="7" t="str">
        <f aca="false">IF(A14="","",IFERROR(MAX(IF(Gastos!$D$5:$D$1000=A14,Gastos!$B$5:$B$1000)),""))</f>
        <v/>
      </c>
    </row>
    <row r="15" customFormat="false" ht="15" hidden="false" customHeight="false" outlineLevel="0" collapsed="false">
      <c r="A15" s="7" t="n">
        <f aca="false">IFERROR(Config_Proyectos!A15,"")</f>
        <v>0</v>
      </c>
      <c r="B15" s="7" t="str">
        <f aca="false">IF(A15="","",Config_Proyectos!B15)</f>
        <v/>
      </c>
      <c r="C15" s="9" t="str">
        <f aca="false">IF(A15="","",Config_Proyectos!F15)</f>
        <v/>
      </c>
      <c r="D15" s="9" t="str">
        <f aca="false">IF(A15="","",SUMIF(Gastos!$D$5:$D$1000,A15,Gastos!$G$5:$G$1000))</f>
        <v/>
      </c>
      <c r="E15" s="9" t="str">
        <f aca="false">IF(A15="","",C15-D15)</f>
        <v/>
      </c>
      <c r="F15" s="10" t="str">
        <f aca="false">IF(OR(A15="",C15=0),"",D15/C15)</f>
        <v/>
      </c>
      <c r="G15" s="7" t="str">
        <f aca="false">IF(A15="","",COUNTIF(Gastos!$D$5:$D$1000,A15))</f>
        <v/>
      </c>
      <c r="H15" s="7" t="str">
        <f aca="false">IF(A15="","",IFERROR(MAX(IF(Gastos!$D$5:$D$1000=A15,Gastos!$B$5:$B$1000)),""))</f>
        <v/>
      </c>
    </row>
    <row r="16" customFormat="false" ht="15" hidden="false" customHeight="false" outlineLevel="0" collapsed="false">
      <c r="A16" s="7" t="n">
        <f aca="false">IFERROR(Config_Proyectos!A16,"")</f>
        <v>0</v>
      </c>
      <c r="B16" s="7" t="str">
        <f aca="false">IF(A16="","",Config_Proyectos!B16)</f>
        <v/>
      </c>
      <c r="C16" s="9" t="str">
        <f aca="false">IF(A16="","",Config_Proyectos!F16)</f>
        <v/>
      </c>
      <c r="D16" s="9" t="str">
        <f aca="false">IF(A16="","",SUMIF(Gastos!$D$5:$D$1000,A16,Gastos!$G$5:$G$1000))</f>
        <v/>
      </c>
      <c r="E16" s="9" t="str">
        <f aca="false">IF(A16="","",C16-D16)</f>
        <v/>
      </c>
      <c r="F16" s="10" t="str">
        <f aca="false">IF(OR(A16="",C16=0),"",D16/C16)</f>
        <v/>
      </c>
      <c r="G16" s="7" t="str">
        <f aca="false">IF(A16="","",COUNTIF(Gastos!$D$5:$D$1000,A16))</f>
        <v/>
      </c>
      <c r="H16" s="7" t="str">
        <f aca="false">IF(A16="","",IFERROR(MAX(IF(Gastos!$D$5:$D$1000=A16,Gastos!$B$5:$B$1000)),""))</f>
        <v/>
      </c>
    </row>
    <row r="17" customFormat="false" ht="15" hidden="false" customHeight="false" outlineLevel="0" collapsed="false">
      <c r="A17" s="7" t="n">
        <f aca="false">IFERROR(Config_Proyectos!A17,"")</f>
        <v>0</v>
      </c>
      <c r="B17" s="7" t="str">
        <f aca="false">IF(A17="","",Config_Proyectos!B17)</f>
        <v/>
      </c>
      <c r="C17" s="9" t="str">
        <f aca="false">IF(A17="","",Config_Proyectos!F17)</f>
        <v/>
      </c>
      <c r="D17" s="9" t="str">
        <f aca="false">IF(A17="","",SUMIF(Gastos!$D$5:$D$1000,A17,Gastos!$G$5:$G$1000))</f>
        <v/>
      </c>
      <c r="E17" s="9" t="str">
        <f aca="false">IF(A17="","",C17-D17)</f>
        <v/>
      </c>
      <c r="F17" s="10" t="str">
        <f aca="false">IF(OR(A17="",C17=0),"",D17/C17)</f>
        <v/>
      </c>
      <c r="G17" s="7" t="str">
        <f aca="false">IF(A17="","",COUNTIF(Gastos!$D$5:$D$1000,A17))</f>
        <v/>
      </c>
      <c r="H17" s="7" t="str">
        <f aca="false">IF(A17="","",IFERROR(MAX(IF(Gastos!$D$5:$D$1000=A17,Gastos!$B$5:$B$1000)),""))</f>
        <v/>
      </c>
    </row>
    <row r="18" customFormat="false" ht="15" hidden="false" customHeight="false" outlineLevel="0" collapsed="false">
      <c r="A18" s="7" t="n">
        <f aca="false">IFERROR(Config_Proyectos!A18,"")</f>
        <v>0</v>
      </c>
      <c r="B18" s="7" t="str">
        <f aca="false">IF(A18="","",Config_Proyectos!B18)</f>
        <v/>
      </c>
      <c r="C18" s="9" t="str">
        <f aca="false">IF(A18="","",Config_Proyectos!F18)</f>
        <v/>
      </c>
      <c r="D18" s="9" t="str">
        <f aca="false">IF(A18="","",SUMIF(Gastos!$D$5:$D$1000,A18,Gastos!$G$5:$G$1000))</f>
        <v/>
      </c>
      <c r="E18" s="9" t="str">
        <f aca="false">IF(A18="","",C18-D18)</f>
        <v/>
      </c>
      <c r="F18" s="10" t="str">
        <f aca="false">IF(OR(A18="",C18=0),"",D18/C18)</f>
        <v/>
      </c>
      <c r="G18" s="7" t="str">
        <f aca="false">IF(A18="","",COUNTIF(Gastos!$D$5:$D$1000,A18))</f>
        <v/>
      </c>
      <c r="H18" s="7" t="str">
        <f aca="false">IF(A18="","",IFERROR(MAX(IF(Gastos!$D$5:$D$1000=A18,Gastos!$B$5:$B$1000)),""))</f>
        <v/>
      </c>
    </row>
    <row r="19" customFormat="false" ht="15" hidden="false" customHeight="false" outlineLevel="0" collapsed="false">
      <c r="A19" s="7" t="n">
        <f aca="false">IFERROR(Config_Proyectos!A19,"")</f>
        <v>0</v>
      </c>
      <c r="B19" s="7" t="str">
        <f aca="false">IF(A19="","",Config_Proyectos!B19)</f>
        <v/>
      </c>
      <c r="C19" s="9" t="str">
        <f aca="false">IF(A19="","",Config_Proyectos!F19)</f>
        <v/>
      </c>
      <c r="D19" s="9" t="str">
        <f aca="false">IF(A19="","",SUMIF(Gastos!$D$5:$D$1000,A19,Gastos!$G$5:$G$1000))</f>
        <v/>
      </c>
      <c r="E19" s="9" t="str">
        <f aca="false">IF(A19="","",C19-D19)</f>
        <v/>
      </c>
      <c r="F19" s="10" t="str">
        <f aca="false">IF(OR(A19="",C19=0),"",D19/C19)</f>
        <v/>
      </c>
      <c r="G19" s="7" t="str">
        <f aca="false">IF(A19="","",COUNTIF(Gastos!$D$5:$D$1000,A19))</f>
        <v/>
      </c>
      <c r="H19" s="7" t="str">
        <f aca="false">IF(A19="","",IFERROR(MAX(IF(Gastos!$D$5:$D$1000=A19,Gastos!$B$5:$B$1000)),""))</f>
        <v/>
      </c>
    </row>
    <row r="20" customFormat="false" ht="15" hidden="false" customHeight="false" outlineLevel="0" collapsed="false">
      <c r="A20" s="7" t="n">
        <f aca="false">IFERROR(Config_Proyectos!A20,"")</f>
        <v>0</v>
      </c>
      <c r="B20" s="7" t="str">
        <f aca="false">IF(A20="","",Config_Proyectos!B20)</f>
        <v/>
      </c>
      <c r="C20" s="9" t="str">
        <f aca="false">IF(A20="","",Config_Proyectos!F20)</f>
        <v/>
      </c>
      <c r="D20" s="9" t="str">
        <f aca="false">IF(A20="","",SUMIF(Gastos!$D$5:$D$1000,A20,Gastos!$G$5:$G$1000))</f>
        <v/>
      </c>
      <c r="E20" s="9" t="str">
        <f aca="false">IF(A20="","",C20-D20)</f>
        <v/>
      </c>
      <c r="F20" s="10" t="str">
        <f aca="false">IF(OR(A20="",C20=0),"",D20/C20)</f>
        <v/>
      </c>
      <c r="G20" s="7" t="str">
        <f aca="false">IF(A20="","",COUNTIF(Gastos!$D$5:$D$1000,A20))</f>
        <v/>
      </c>
      <c r="H20" s="7" t="str">
        <f aca="false">IF(A20="","",IFERROR(MAX(IF(Gastos!$D$5:$D$1000=A20,Gastos!$B$5:$B$1000)),""))</f>
        <v/>
      </c>
    </row>
    <row r="21" customFormat="false" ht="15" hidden="false" customHeight="false" outlineLevel="0" collapsed="false">
      <c r="A21" s="7" t="n">
        <f aca="false">IFERROR(Config_Proyectos!A21,"")</f>
        <v>0</v>
      </c>
      <c r="B21" s="7" t="str">
        <f aca="false">IF(A21="","",Config_Proyectos!B21)</f>
        <v/>
      </c>
      <c r="C21" s="9" t="str">
        <f aca="false">IF(A21="","",Config_Proyectos!F21)</f>
        <v/>
      </c>
      <c r="D21" s="9" t="str">
        <f aca="false">IF(A21="","",SUMIF(Gastos!$D$5:$D$1000,A21,Gastos!$G$5:$G$1000))</f>
        <v/>
      </c>
      <c r="E21" s="9" t="str">
        <f aca="false">IF(A21="","",C21-D21)</f>
        <v/>
      </c>
      <c r="F21" s="10" t="str">
        <f aca="false">IF(OR(A21="",C21=0),"",D21/C21)</f>
        <v/>
      </c>
      <c r="G21" s="7" t="str">
        <f aca="false">IF(A21="","",COUNTIF(Gastos!$D$5:$D$1000,A21))</f>
        <v/>
      </c>
      <c r="H21" s="7" t="str">
        <f aca="false">IF(A21="","",IFERROR(MAX(IF(Gastos!$D$5:$D$1000=A21,Gastos!$B$5:$B$1000)),""))</f>
        <v/>
      </c>
    </row>
    <row r="22" customFormat="false" ht="15" hidden="false" customHeight="false" outlineLevel="0" collapsed="false">
      <c r="A22" s="7" t="n">
        <f aca="false">IFERROR(Config_Proyectos!A22,"")</f>
        <v>0</v>
      </c>
      <c r="B22" s="7" t="str">
        <f aca="false">IF(A22="","",Config_Proyectos!B22)</f>
        <v/>
      </c>
      <c r="C22" s="9" t="str">
        <f aca="false">IF(A22="","",Config_Proyectos!F22)</f>
        <v/>
      </c>
      <c r="D22" s="9" t="str">
        <f aca="false">IF(A22="","",SUMIF(Gastos!$D$5:$D$1000,A22,Gastos!$G$5:$G$1000))</f>
        <v/>
      </c>
      <c r="E22" s="9" t="str">
        <f aca="false">IF(A22="","",C22-D22)</f>
        <v/>
      </c>
      <c r="F22" s="10" t="str">
        <f aca="false">IF(OR(A22="",C22=0),"",D22/C22)</f>
        <v/>
      </c>
      <c r="G22" s="7" t="str">
        <f aca="false">IF(A22="","",COUNTIF(Gastos!$D$5:$D$1000,A22))</f>
        <v/>
      </c>
      <c r="H22" s="7" t="str">
        <f aca="false">IF(A22="","",IFERROR(MAX(IF(Gastos!$D$5:$D$1000=A22,Gastos!$B$5:$B$1000)),""))</f>
        <v/>
      </c>
    </row>
    <row r="23" customFormat="false" ht="15" hidden="false" customHeight="false" outlineLevel="0" collapsed="false">
      <c r="A23" s="7" t="n">
        <f aca="false">IFERROR(Config_Proyectos!A23,"")</f>
        <v>0</v>
      </c>
      <c r="B23" s="7" t="str">
        <f aca="false">IF(A23="","",Config_Proyectos!B23)</f>
        <v/>
      </c>
      <c r="C23" s="9" t="str">
        <f aca="false">IF(A23="","",Config_Proyectos!F23)</f>
        <v/>
      </c>
      <c r="D23" s="9" t="str">
        <f aca="false">IF(A23="","",SUMIF(Gastos!$D$5:$D$1000,A23,Gastos!$G$5:$G$1000))</f>
        <v/>
      </c>
      <c r="E23" s="9" t="str">
        <f aca="false">IF(A23="","",C23-D23)</f>
        <v/>
      </c>
      <c r="F23" s="10" t="str">
        <f aca="false">IF(OR(A23="",C23=0),"",D23/C23)</f>
        <v/>
      </c>
      <c r="G23" s="7" t="str">
        <f aca="false">IF(A23="","",COUNTIF(Gastos!$D$5:$D$1000,A23))</f>
        <v/>
      </c>
      <c r="H23" s="7" t="str">
        <f aca="false">IF(A23="","",IFERROR(MAX(IF(Gastos!$D$5:$D$1000=A23,Gastos!$B$5:$B$1000)),""))</f>
        <v/>
      </c>
    </row>
    <row r="24" customFormat="false" ht="15" hidden="false" customHeight="false" outlineLevel="0" collapsed="false">
      <c r="A24" s="7" t="n">
        <f aca="false">IFERROR(Config_Proyectos!A24,"")</f>
        <v>0</v>
      </c>
      <c r="B24" s="7" t="str">
        <f aca="false">IF(A24="","",Config_Proyectos!B24)</f>
        <v/>
      </c>
      <c r="C24" s="9" t="str">
        <f aca="false">IF(A24="","",Config_Proyectos!F24)</f>
        <v/>
      </c>
      <c r="D24" s="9" t="str">
        <f aca="false">IF(A24="","",SUMIF(Gastos!$D$5:$D$1000,A24,Gastos!$G$5:$G$1000))</f>
        <v/>
      </c>
      <c r="E24" s="9" t="str">
        <f aca="false">IF(A24="","",C24-D24)</f>
        <v/>
      </c>
      <c r="F24" s="10" t="str">
        <f aca="false">IF(OR(A24="",C24=0),"",D24/C24)</f>
        <v/>
      </c>
      <c r="G24" s="7" t="str">
        <f aca="false">IF(A24="","",COUNTIF(Gastos!$D$5:$D$1000,A24))</f>
        <v/>
      </c>
      <c r="H24" s="7" t="str">
        <f aca="false">IF(A24="","",IFERROR(MAX(IF(Gastos!$D$5:$D$1000=A24,Gastos!$B$5:$B$1000)),""))</f>
        <v/>
      </c>
    </row>
    <row r="25" customFormat="false" ht="15" hidden="false" customHeight="false" outlineLevel="0" collapsed="false">
      <c r="A25" s="7" t="n">
        <f aca="false">IFERROR(Config_Proyectos!A25,"")</f>
        <v>0</v>
      </c>
      <c r="B25" s="7" t="str">
        <f aca="false">IF(A25="","",Config_Proyectos!B25)</f>
        <v/>
      </c>
      <c r="C25" s="9" t="str">
        <f aca="false">IF(A25="","",Config_Proyectos!F25)</f>
        <v/>
      </c>
      <c r="D25" s="9" t="str">
        <f aca="false">IF(A25="","",SUMIF(Gastos!$D$5:$D$1000,A25,Gastos!$G$5:$G$1000))</f>
        <v/>
      </c>
      <c r="E25" s="9" t="str">
        <f aca="false">IF(A25="","",C25-D25)</f>
        <v/>
      </c>
      <c r="F25" s="10" t="str">
        <f aca="false">IF(OR(A25="",C25=0),"",D25/C25)</f>
        <v/>
      </c>
      <c r="G25" s="7" t="str">
        <f aca="false">IF(A25="","",COUNTIF(Gastos!$D$5:$D$1000,A25))</f>
        <v/>
      </c>
      <c r="H25" s="7" t="str">
        <f aca="false">IF(A25="","",IFERROR(MAX(IF(Gastos!$D$5:$D$1000=A25,Gastos!$B$5:$B$1000)),""))</f>
        <v/>
      </c>
    </row>
    <row r="26" customFormat="false" ht="15" hidden="false" customHeight="false" outlineLevel="0" collapsed="false">
      <c r="A26" s="7" t="n">
        <f aca="false">IFERROR(Config_Proyectos!A26,"")</f>
        <v>0</v>
      </c>
      <c r="B26" s="7" t="str">
        <f aca="false">IF(A26="","",Config_Proyectos!B26)</f>
        <v/>
      </c>
      <c r="C26" s="9" t="str">
        <f aca="false">IF(A26="","",Config_Proyectos!F26)</f>
        <v/>
      </c>
      <c r="D26" s="9" t="str">
        <f aca="false">IF(A26="","",SUMIF(Gastos!$D$5:$D$1000,A26,Gastos!$G$5:$G$1000))</f>
        <v/>
      </c>
      <c r="E26" s="9" t="str">
        <f aca="false">IF(A26="","",C26-D26)</f>
        <v/>
      </c>
      <c r="F26" s="10" t="str">
        <f aca="false">IF(OR(A26="",C26=0),"",D26/C26)</f>
        <v/>
      </c>
      <c r="G26" s="7" t="str">
        <f aca="false">IF(A26="","",COUNTIF(Gastos!$D$5:$D$1000,A26))</f>
        <v/>
      </c>
      <c r="H26" s="7" t="str">
        <f aca="false">IF(A26="","",IFERROR(MAX(IF(Gastos!$D$5:$D$1000=A26,Gastos!$B$5:$B$1000)),""))</f>
        <v/>
      </c>
    </row>
    <row r="27" customFormat="false" ht="15" hidden="false" customHeight="false" outlineLevel="0" collapsed="false">
      <c r="A27" s="7" t="n">
        <f aca="false">IFERROR(Config_Proyectos!A27,"")</f>
        <v>0</v>
      </c>
      <c r="B27" s="7" t="str">
        <f aca="false">IF(A27="","",Config_Proyectos!B27)</f>
        <v/>
      </c>
      <c r="C27" s="9" t="str">
        <f aca="false">IF(A27="","",Config_Proyectos!F27)</f>
        <v/>
      </c>
      <c r="D27" s="9" t="str">
        <f aca="false">IF(A27="","",SUMIF(Gastos!$D$5:$D$1000,A27,Gastos!$G$5:$G$1000))</f>
        <v/>
      </c>
      <c r="E27" s="9" t="str">
        <f aca="false">IF(A27="","",C27-D27)</f>
        <v/>
      </c>
      <c r="F27" s="10" t="str">
        <f aca="false">IF(OR(A27="",C27=0),"",D27/C27)</f>
        <v/>
      </c>
      <c r="G27" s="7" t="str">
        <f aca="false">IF(A27="","",COUNTIF(Gastos!$D$5:$D$1000,A27))</f>
        <v/>
      </c>
      <c r="H27" s="7" t="str">
        <f aca="false">IF(A27="","",IFERROR(MAX(IF(Gastos!$D$5:$D$1000=A27,Gastos!$B$5:$B$1000)),""))</f>
        <v/>
      </c>
    </row>
    <row r="28" customFormat="false" ht="15" hidden="false" customHeight="false" outlineLevel="0" collapsed="false">
      <c r="A28" s="7" t="n">
        <f aca="false">IFERROR(Config_Proyectos!A28,"")</f>
        <v>0</v>
      </c>
      <c r="B28" s="7" t="str">
        <f aca="false">IF(A28="","",Config_Proyectos!B28)</f>
        <v/>
      </c>
      <c r="C28" s="9" t="str">
        <f aca="false">IF(A28="","",Config_Proyectos!F28)</f>
        <v/>
      </c>
      <c r="D28" s="9" t="str">
        <f aca="false">IF(A28="","",SUMIF(Gastos!$D$5:$D$1000,A28,Gastos!$G$5:$G$1000))</f>
        <v/>
      </c>
      <c r="E28" s="9" t="str">
        <f aca="false">IF(A28="","",C28-D28)</f>
        <v/>
      </c>
      <c r="F28" s="10" t="str">
        <f aca="false">IF(OR(A28="",C28=0),"",D28/C28)</f>
        <v/>
      </c>
      <c r="G28" s="7" t="str">
        <f aca="false">IF(A28="","",COUNTIF(Gastos!$D$5:$D$1000,A28))</f>
        <v/>
      </c>
      <c r="H28" s="7" t="str">
        <f aca="false">IF(A28="","",IFERROR(MAX(IF(Gastos!$D$5:$D$1000=A28,Gastos!$B$5:$B$1000)),""))</f>
        <v/>
      </c>
    </row>
    <row r="29" customFormat="false" ht="15" hidden="false" customHeight="false" outlineLevel="0" collapsed="false">
      <c r="A29" s="7" t="n">
        <f aca="false">IFERROR(Config_Proyectos!A29,"")</f>
        <v>0</v>
      </c>
      <c r="B29" s="7" t="str">
        <f aca="false">IF(A29="","",Config_Proyectos!B29)</f>
        <v/>
      </c>
      <c r="C29" s="9" t="str">
        <f aca="false">IF(A29="","",Config_Proyectos!F29)</f>
        <v/>
      </c>
      <c r="D29" s="9" t="str">
        <f aca="false">IF(A29="","",SUMIF(Gastos!$D$5:$D$1000,A29,Gastos!$G$5:$G$1000))</f>
        <v/>
      </c>
      <c r="E29" s="9" t="str">
        <f aca="false">IF(A29="","",C29-D29)</f>
        <v/>
      </c>
      <c r="F29" s="10" t="str">
        <f aca="false">IF(OR(A29="",C29=0),"",D29/C29)</f>
        <v/>
      </c>
      <c r="G29" s="7" t="str">
        <f aca="false">IF(A29="","",COUNTIF(Gastos!$D$5:$D$1000,A29))</f>
        <v/>
      </c>
      <c r="H29" s="7" t="str">
        <f aca="false">IF(A29="","",IFERROR(MAX(IF(Gastos!$D$5:$D$1000=A29,Gastos!$B$5:$B$1000)),""))</f>
        <v/>
      </c>
    </row>
    <row r="30" customFormat="false" ht="15" hidden="false" customHeight="false" outlineLevel="0" collapsed="false">
      <c r="A30" s="7" t="n">
        <f aca="false">IFERROR(Config_Proyectos!A30,"")</f>
        <v>0</v>
      </c>
      <c r="B30" s="7" t="str">
        <f aca="false">IF(A30="","",Config_Proyectos!B30)</f>
        <v/>
      </c>
      <c r="C30" s="9" t="str">
        <f aca="false">IF(A30="","",Config_Proyectos!F30)</f>
        <v/>
      </c>
      <c r="D30" s="9" t="str">
        <f aca="false">IF(A30="","",SUMIF(Gastos!$D$5:$D$1000,A30,Gastos!$G$5:$G$1000))</f>
        <v/>
      </c>
      <c r="E30" s="9" t="str">
        <f aca="false">IF(A30="","",C30-D30)</f>
        <v/>
      </c>
      <c r="F30" s="10" t="str">
        <f aca="false">IF(OR(A30="",C30=0),"",D30/C30)</f>
        <v/>
      </c>
      <c r="G30" s="7" t="str">
        <f aca="false">IF(A30="","",COUNTIF(Gastos!$D$5:$D$1000,A30))</f>
        <v/>
      </c>
      <c r="H30" s="7" t="str">
        <f aca="false">IF(A30="","",IFERROR(MAX(IF(Gastos!$D$5:$D$1000=A30,Gastos!$B$5:$B$1000)),""))</f>
        <v/>
      </c>
    </row>
    <row r="31" customFormat="false" ht="15" hidden="false" customHeight="false" outlineLevel="0" collapsed="false">
      <c r="A31" s="7" t="n">
        <f aca="false">IFERROR(Config_Proyectos!A31,"")</f>
        <v>0</v>
      </c>
      <c r="B31" s="7" t="str">
        <f aca="false">IF(A31="","",Config_Proyectos!B31)</f>
        <v/>
      </c>
      <c r="C31" s="9" t="str">
        <f aca="false">IF(A31="","",Config_Proyectos!F31)</f>
        <v/>
      </c>
      <c r="D31" s="9" t="str">
        <f aca="false">IF(A31="","",SUMIF(Gastos!$D$5:$D$1000,A31,Gastos!$G$5:$G$1000))</f>
        <v/>
      </c>
      <c r="E31" s="9" t="str">
        <f aca="false">IF(A31="","",C31-D31)</f>
        <v/>
      </c>
      <c r="F31" s="10" t="str">
        <f aca="false">IF(OR(A31="",C31=0),"",D31/C31)</f>
        <v/>
      </c>
      <c r="G31" s="7" t="str">
        <f aca="false">IF(A31="","",COUNTIF(Gastos!$D$5:$D$1000,A31))</f>
        <v/>
      </c>
      <c r="H31" s="7" t="str">
        <f aca="false">IF(A31="","",IFERROR(MAX(IF(Gastos!$D$5:$D$1000=A31,Gastos!$B$5:$B$1000)),""))</f>
        <v/>
      </c>
    </row>
    <row r="32" customFormat="false" ht="15" hidden="false" customHeight="false" outlineLevel="0" collapsed="false">
      <c r="A32" s="7" t="n">
        <f aca="false">IFERROR(Config_Proyectos!A32,"")</f>
        <v>0</v>
      </c>
      <c r="B32" s="7" t="str">
        <f aca="false">IF(A32="","",Config_Proyectos!B32)</f>
        <v/>
      </c>
      <c r="C32" s="9" t="str">
        <f aca="false">IF(A32="","",Config_Proyectos!F32)</f>
        <v/>
      </c>
      <c r="D32" s="9" t="str">
        <f aca="false">IF(A32="","",SUMIF(Gastos!$D$5:$D$1000,A32,Gastos!$G$5:$G$1000))</f>
        <v/>
      </c>
      <c r="E32" s="9" t="str">
        <f aca="false">IF(A32="","",C32-D32)</f>
        <v/>
      </c>
      <c r="F32" s="10" t="str">
        <f aca="false">IF(OR(A32="",C32=0),"",D32/C32)</f>
        <v/>
      </c>
      <c r="G32" s="7" t="str">
        <f aca="false">IF(A32="","",COUNTIF(Gastos!$D$5:$D$1000,A32))</f>
        <v/>
      </c>
      <c r="H32" s="7" t="str">
        <f aca="false">IF(A32="","",IFERROR(MAX(IF(Gastos!$D$5:$D$1000=A32,Gastos!$B$5:$B$1000)),""))</f>
        <v/>
      </c>
    </row>
    <row r="33" customFormat="false" ht="15" hidden="false" customHeight="false" outlineLevel="0" collapsed="false">
      <c r="A33" s="7" t="n">
        <f aca="false">IFERROR(Config_Proyectos!A33,"")</f>
        <v>0</v>
      </c>
      <c r="B33" s="7" t="str">
        <f aca="false">IF(A33="","",Config_Proyectos!B33)</f>
        <v/>
      </c>
      <c r="C33" s="9" t="str">
        <f aca="false">IF(A33="","",Config_Proyectos!F33)</f>
        <v/>
      </c>
      <c r="D33" s="9" t="str">
        <f aca="false">IF(A33="","",SUMIF(Gastos!$D$5:$D$1000,A33,Gastos!$G$5:$G$1000))</f>
        <v/>
      </c>
      <c r="E33" s="9" t="str">
        <f aca="false">IF(A33="","",C33-D33)</f>
        <v/>
      </c>
      <c r="F33" s="10" t="str">
        <f aca="false">IF(OR(A33="",C33=0),"",D33/C33)</f>
        <v/>
      </c>
      <c r="G33" s="7" t="str">
        <f aca="false">IF(A33="","",COUNTIF(Gastos!$D$5:$D$1000,A33))</f>
        <v/>
      </c>
      <c r="H33" s="7" t="str">
        <f aca="false">IF(A33="","",IFERROR(MAX(IF(Gastos!$D$5:$D$1000=A33,Gastos!$B$5:$B$1000)),""))</f>
        <v/>
      </c>
    </row>
    <row r="34" customFormat="false" ht="15" hidden="false" customHeight="false" outlineLevel="0" collapsed="false">
      <c r="A34" s="7" t="n">
        <f aca="false">IFERROR(Config_Proyectos!A34,"")</f>
        <v>0</v>
      </c>
      <c r="B34" s="7" t="str">
        <f aca="false">IF(A34="","",Config_Proyectos!B34)</f>
        <v/>
      </c>
      <c r="C34" s="9" t="str">
        <f aca="false">IF(A34="","",Config_Proyectos!F34)</f>
        <v/>
      </c>
      <c r="D34" s="9" t="str">
        <f aca="false">IF(A34="","",SUMIF(Gastos!$D$5:$D$1000,A34,Gastos!$G$5:$G$1000))</f>
        <v/>
      </c>
      <c r="E34" s="9" t="str">
        <f aca="false">IF(A34="","",C34-D34)</f>
        <v/>
      </c>
      <c r="F34" s="10" t="str">
        <f aca="false">IF(OR(A34="",C34=0),"",D34/C34)</f>
        <v/>
      </c>
      <c r="G34" s="7" t="str">
        <f aca="false">IF(A34="","",COUNTIF(Gastos!$D$5:$D$1000,A34))</f>
        <v/>
      </c>
      <c r="H34" s="7" t="str">
        <f aca="false">IF(A34="","",IFERROR(MAX(IF(Gastos!$D$5:$D$1000=A34,Gastos!$B$5:$B$1000)),""))</f>
        <v/>
      </c>
    </row>
    <row r="36" customFormat="false" ht="15" hidden="false" customHeight="false" outlineLevel="0" collapsed="false">
      <c r="B36" s="11" t="s">
        <v>93</v>
      </c>
      <c r="C36" s="12" t="n">
        <f aca="false">SUM(C5:C34)</f>
        <v>230000</v>
      </c>
      <c r="D36" s="12" t="n">
        <f aca="false">SUM(D5:D34)</f>
        <v>173000</v>
      </c>
      <c r="E36" s="12" t="n">
        <f aca="false">SUM(E5:E34)</f>
        <v>57000</v>
      </c>
    </row>
  </sheetData>
  <mergeCells count="1">
    <mergeCell ref="A2:H2"/>
  </mergeCells>
  <conditionalFormatting sqref="F5:F34">
    <cfRule type="colorScale" priority="2">
      <colorScale>
        <cfvo type="num" val="0"/>
        <cfvo type="num" val="0.8"/>
        <cfvo type="num" val="1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45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95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54</v>
      </c>
      <c r="B4" s="3" t="s">
        <v>55</v>
      </c>
      <c r="C4" s="3" t="s">
        <v>6</v>
      </c>
      <c r="D4" s="3" t="s">
        <v>59</v>
      </c>
      <c r="E4" s="3" t="s">
        <v>61</v>
      </c>
      <c r="F4" s="3" t="s">
        <v>96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2026-07-09T11:31:21Z</dcterms:created>
  <dc:creator>openpyxl</dc:creator>
  <dc:description/>
  <dc:language>en-US</dc:language>
  <cp:lastModifiedBy/>
  <dcterms:modified xsi:type="dcterms:W3CDTF">2026-07-09T11:31:33Z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